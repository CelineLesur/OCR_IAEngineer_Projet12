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ques" sheetId="1" state="visible" r:id="rId3"/>
    <sheet name="Exe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<sst xmlns="http://schemas.openxmlformats.org/spreadsheetml/2006/main" count="85" uniqueCount="65">
  <si>
    <t xml:space="preserve">Facteurs de risque</t>
  </si>
  <si>
    <t xml:space="preserve">Risque
(événement redouté)</t>
  </si>
  <si>
    <t xml:space="preserve">Conséquence</t>
  </si>
  <si>
    <t xml:space="preserve">Impact</t>
  </si>
  <si>
    <t xml:space="preserve">Conséquences
(en coût, délai, qualité, satisfaction client)</t>
  </si>
  <si>
    <t xml:space="preserve">Impact
(0 à3)</t>
  </si>
  <si>
    <t xml:space="preserve">Probabilité
(0 à 3)</t>
  </si>
  <si>
    <t xml:space="preserve">Criticité
(impact*prob)</t>
  </si>
  <si>
    <t xml:space="preserve">Actions de prévention
(pour éviter l'événement redouté)</t>
  </si>
  <si>
    <t xml:space="preserve">Action de correction
(si événement redouté avéré)</t>
  </si>
  <si>
    <t xml:space="preserve">Impact résiduel
(0 à3)</t>
  </si>
  <si>
    <t xml:space="preserve">Probabilité résiduelle
(0 à 3)</t>
  </si>
  <si>
    <t xml:space="preserve">Criticité résiduelle
(impact résiduel * prob résiduel)</t>
  </si>
  <si>
    <t xml:space="preserve">Décision </t>
  </si>
  <si>
    <t xml:space="preserve">Etant donné que …</t>
  </si>
  <si>
    <t xml:space="preserve">Si …</t>
  </si>
  <si>
    <t xml:space="preserve">Alors …</t>
  </si>
  <si>
    <t xml:space="preserve">Le data scientist est junior et dépend d’un sous-traitant IA </t>
  </si>
  <si>
    <t xml:space="preserve">Le sous-traitant n’est pas assez réactif ou indisponible</t>
  </si>
  <si>
    <t xml:space="preserve">Retard ou blocage des fonctionnalités IA</t>
  </si>
  <si>
    <t xml:space="preserve">Documentation des modèles et des jeux de données / validation régulière avec l’IA Project Manager / Limiter la dépendance technique / Contrat précis sur le nombre d’heures minimales à fournir</t>
  </si>
  <si>
    <t xml:space="preserve">Réduction du périmètre fonctionnel IA / Remplacement temporaire par un modèle plus simple ou pré-entraîné / Prolongation de la mission du sous-traitant ou changement de sous-traitant</t>
  </si>
  <si>
    <t xml:space="preserve">Risque acceptable sous surveillance</t>
  </si>
  <si>
    <t xml:space="preserve">Les performances des modèles d’IA sont indispensables au succès du projet</t>
  </si>
  <si>
    <t xml:space="preserve">Les performances du modèle sont insuffisantes (précision faible, latence élevée, recommandations peu pertinentes) </t>
  </si>
  <si>
    <t xml:space="preserve">Mauvaise qualité des recommandations, mauvaise expérience utilisateurs → perte d’utilisateurs </t>
  </si>
  <si>
    <t xml:space="preserve">Choix d’un sous-traitant spécialisé IA / Choix de modèles pré-entraînés robustes / Tests de performance systématiques / Définition d’indicateurs de qualité IA (taux de clic, feedback utilisateur)</t>
  </si>
  <si>
    <t xml:space="preserve">Réentraînement ou remplacement du modèle / Simplification de l’algorithme de recommandation / Désactivation temporaire de certaines fonctionnalités IA</t>
  </si>
  <si>
    <t xml:space="preserve">Les développeurs sont partagés avec un autre projet </t>
  </si>
  <si>
    <t xml:space="preserve">Retard sur les features clés (garde-robe, recommandations) </t>
  </si>
  <si>
    <t xml:space="preserve">Impossible de tenir le MVP, blocage du Data Scientist </t>
  </si>
  <si>
    <t xml:space="preserve">Planification dédiée par sprint / Identification des dépendances critiques / Automatisation des tests pour réduire la charge manuelle</t>
  </si>
  <si>
    <t xml:space="preserve">Réaffectation temporaire de ressources / Externalisation ponctuelle du développement / Réduction du périmètre fonctionnel</t>
  </si>
  <si>
    <t xml:space="preserve">Les images utilisateurs sont des données sensibles (visage, genre implicite) </t>
  </si>
  <si>
    <t xml:space="preserve">Fuite, faille de sécurité ou mauvaise configuration </t>
  </si>
  <si>
    <t xml:space="preserve">Violation RGPD, sanction CNIL, perte de confiance, réputation </t>
  </si>
  <si>
    <t xml:space="preserve">Suppression automatique des images après traitement / Chiffrement des données / Accès par rôle / Consentement explicite utilisateur / Pas d’identification par les modèles d’IA / Présence du DPO</t>
  </si>
  <si>
    <t xml:space="preserve"> Désactivation immédiate de la fonctionnalité / Notification des utilisateurs / Déclaration d’incident</t>
  </si>
  <si>
    <t xml:space="preserve">Le modèle exploite des photos pouvant refléter des biais (genre, morphologie) </t>
  </si>
  <si>
    <t xml:space="preserve">Recommandations discriminantes ou stigmatisantes liées à des biais du modèle</t>
  </si>
  <si>
    <t xml:space="preserve">Atteinte à l’image de marque, plaintes utilisateurs, bad buzz </t>
  </si>
  <si>
    <r>
      <rPr>
        <sz val="11"/>
        <rFont val="Calibri"/>
        <family val="2"/>
        <charset val="1"/>
      </rPr>
      <t xml:space="preserve">Choix de jeux de données diversifiés et équilibrés / Tests fonctionnels sur profils variés / Recommandations basées sur les vêtements, pas la personne / Option utilisateur pour désactiver les fonctionnalités IA /</t>
    </r>
    <r>
      <rPr>
        <sz val="11"/>
        <rFont val="Calibri"/>
        <family val="2"/>
      </rPr>
      <t xml:space="preserve">Recueil du feedback utilisateur</t>
    </r>
  </si>
  <si>
    <t xml:space="preserve">Désactivation immédiate de la fonctionnalité / Réentraînement du modèle </t>
  </si>
  <si>
    <t xml:space="preserve">Le modèle ne gère pas bien toutes les morphologies / styles </t>
  </si>
  <si>
    <t xml:space="preserve">Recommandations inadaptée dues à une couverture insuffisante des morphologies et styles différents, générant de la frustration </t>
  </si>
  <si>
    <t xml:space="preserve">Perte d’adoption, perte d’utilisateurs</t>
  </si>
  <si>
    <r>
      <rPr>
        <sz val="11"/>
        <rFont val="Calibri"/>
        <family val="2"/>
      </rPr>
      <t xml:space="preserve">Choix de jeux de données diversifiés et équilibrés / Tests fonctionnels sur profils variés / </t>
    </r>
    <r>
      <rPr>
        <sz val="11"/>
        <rFont val="Calibri"/>
        <family val="2"/>
        <charset val="1"/>
      </rPr>
      <t xml:space="preserve">Recueil du feedback utilisateur / Communication claire sur les limites de l’IA</t>
    </r>
  </si>
  <si>
    <t xml:space="preserve">Ajustement des paramètres du modèle / Ajout de recommandations génériques</t>
  </si>
  <si>
    <t xml:space="preserve">La gestion des données personnelles et leur sécurité est un enjeu majeur</t>
  </si>
  <si>
    <t xml:space="preserve">Non-conformité légale, manque de documentation RGPD</t>
  </si>
  <si>
    <t xml:space="preserve">Amende 2 à 4% CA, arrêt du service </t>
  </si>
  <si>
    <t xml:space="preserve">Registre CNIL complété / Implication du DPO dès la conception / Politique de conservation des données claire</t>
  </si>
  <si>
    <t xml:space="preserve">Audit RGPD / Mise en conformité rapide / Suspension temporaire des traitements concernés</t>
  </si>
  <si>
    <t xml:space="preserve">Il y a une dépendance forte à Azure ML (coûts GPU) </t>
  </si>
  <si>
    <t xml:space="preserve">Explosion des coûts selon l’usage </t>
  </si>
  <si>
    <t xml:space="preserve">Non-rentabilité du projet </t>
  </si>
  <si>
    <t xml:space="preserve">Limitation du temps GPU / Utilisation préférentielle de modèles pré-entraînés / Tests locaux avant entraînement cloud / Suivi des coûts Azure (alertes)</t>
  </si>
  <si>
    <t xml:space="preserve">Arrêt des ressources GPU / Passage à une architecture CPU / Révision du budget</t>
  </si>
  <si>
    <t xml:space="preserve">Seules 2 ressources critiques connaissent le logiciel</t>
  </si>
  <si>
    <t xml:space="preserve">Non disponibilité ou perte de la compétence</t>
  </si>
  <si>
    <t xml:space="preserve">Rétro-ingénierie ou rework importante</t>
  </si>
  <si>
    <t xml:space="preserve">Activité de rétro-ingénierie des règles à re-documenter =&gt; charge + formation + délai</t>
  </si>
  <si>
    <t xml:space="preserve">Certaines activités ne pourront être réalisées.
Il faudra former des compétences juniors pour remplacer le manque.
Impact = coût, délai et qualité</t>
  </si>
  <si>
    <t xml:space="preserve">. Affecter des ressources pour faire le transfert de compétence
</t>
  </si>
  <si>
    <t xml:space="preserve">. Recadrer le projet
. Maintenir l'ancien système
. Lancer une action de rétro-ingénierie des règles et re-documenter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</si>
</sst>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A933"/>
      <name val="Calibri"/>
      <family val="2"/>
      <charset val="1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8080"/>
      </patternFill>
    </fill>
    <fill>
      <patternFill patternType="solid">
        <fgColor rgb="FFDEE6EF"/>
        <bgColor rgb="FFDCE6F2"/>
      </patternFill>
    </fill>
    <fill>
      <patternFill patternType="solid">
        <fgColor theme="4" tint="0.7999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4296875" defaultRowHeight="14.2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26.45"/>
    <col collapsed="false" customWidth="true" hidden="true" outlineLevel="0" max="3" min="3" style="1" width="26.45"/>
    <col collapsed="false" customWidth="true" hidden="true" outlineLevel="0" max="4" min="4" style="1" width="22.91"/>
    <col collapsed="false" customWidth="true" hidden="false" outlineLevel="0" max="5" min="5" style="1" width="26.45"/>
    <col collapsed="false" customWidth="false" hidden="false" outlineLevel="0" max="7" min="6" style="1" width="11.54"/>
    <col collapsed="false" customWidth="true" hidden="false" outlineLevel="0" max="8" min="8" style="1" width="14.45"/>
    <col collapsed="false" customWidth="true" hidden="false" outlineLevel="0" max="9" min="9" style="1" width="37.83"/>
    <col collapsed="false" customWidth="true" hidden="false" outlineLevel="0" max="10" min="10" style="1" width="39.13"/>
    <col collapsed="false" customWidth="false" hidden="false" outlineLevel="0" max="12" min="11" style="1" width="11.54"/>
    <col collapsed="false" customWidth="true" hidden="false" outlineLevel="0" max="13" min="13" style="1" width="16.5"/>
    <col collapsed="false" customWidth="false" hidden="false" outlineLevel="0" max="16384" min="14" style="1" width="11.54"/>
  </cols>
  <sheetData>
    <row r="1" s="3" customFormat="tru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3" customFormat="true" ht="13.8" hidden="false" customHeight="false" outlineLevel="0" collapsed="false">
      <c r="A2" s="4" t="s">
        <v>14</v>
      </c>
      <c r="B2" s="4" t="s">
        <v>15</v>
      </c>
      <c r="C2" s="4"/>
      <c r="D2" s="4"/>
      <c r="E2" s="4" t="s">
        <v>16</v>
      </c>
      <c r="F2" s="4"/>
      <c r="G2" s="4"/>
      <c r="H2" s="4"/>
      <c r="I2" s="4"/>
      <c r="J2" s="4"/>
      <c r="K2" s="4"/>
      <c r="L2" s="4"/>
      <c r="M2" s="4"/>
      <c r="N2" s="4"/>
    </row>
    <row r="3" customFormat="false" ht="57.45" hidden="false" customHeight="false" outlineLevel="0" collapsed="false">
      <c r="A3" s="5" t="s">
        <v>17</v>
      </c>
      <c r="B3" s="5" t="s">
        <v>18</v>
      </c>
      <c r="C3" s="6"/>
      <c r="D3" s="6"/>
      <c r="E3" s="5" t="s">
        <v>19</v>
      </c>
      <c r="F3" s="7" t="n">
        <v>2</v>
      </c>
      <c r="G3" s="7" t="n">
        <v>2</v>
      </c>
      <c r="H3" s="8" t="n">
        <f aca="false">LEFT(F3,1)*LEFT(G3,1)</f>
        <v>4</v>
      </c>
      <c r="I3" s="9" t="s">
        <v>20</v>
      </c>
      <c r="J3" s="9" t="s">
        <v>21</v>
      </c>
      <c r="K3" s="7" t="n">
        <v>2</v>
      </c>
      <c r="L3" s="7" t="n">
        <v>1</v>
      </c>
      <c r="M3" s="8" t="n">
        <f aca="false">LEFT(K3,1)*LEFT(L3,1)</f>
        <v>2</v>
      </c>
      <c r="N3" s="10" t="s">
        <v>22</v>
      </c>
    </row>
    <row r="4" s="14" customFormat="true" ht="57.45" hidden="false" customHeight="false" outlineLevel="0" collapsed="false">
      <c r="A4" s="5" t="s">
        <v>23</v>
      </c>
      <c r="B4" s="11" t="s">
        <v>24</v>
      </c>
      <c r="C4" s="12"/>
      <c r="D4" s="12"/>
      <c r="E4" s="5" t="s">
        <v>25</v>
      </c>
      <c r="F4" s="13" t="n">
        <v>3</v>
      </c>
      <c r="G4" s="13" t="n">
        <v>2</v>
      </c>
      <c r="H4" s="8" t="n">
        <f aca="false">LEFT(F4,1)*LEFT(G4,1)</f>
        <v>6</v>
      </c>
      <c r="I4" s="9" t="s">
        <v>26</v>
      </c>
      <c r="J4" s="9" t="s">
        <v>27</v>
      </c>
      <c r="K4" s="13" t="n">
        <v>2</v>
      </c>
      <c r="L4" s="13" t="n">
        <v>1</v>
      </c>
      <c r="M4" s="8" t="n">
        <f aca="false">LEFT(K4,1)*LEFT(L4,1)</f>
        <v>2</v>
      </c>
      <c r="N4" s="10" t="s">
        <v>22</v>
      </c>
    </row>
    <row r="5" customFormat="false" ht="46.25" hidden="false" customHeight="false" outlineLevel="0" collapsed="false">
      <c r="A5" s="5" t="s">
        <v>28</v>
      </c>
      <c r="B5" s="5" t="s">
        <v>29</v>
      </c>
      <c r="C5" s="6"/>
      <c r="D5" s="6"/>
      <c r="E5" s="5" t="s">
        <v>30</v>
      </c>
      <c r="F5" s="7" t="n">
        <v>2</v>
      </c>
      <c r="G5" s="7" t="n">
        <v>3</v>
      </c>
      <c r="H5" s="8" t="n">
        <f aca="false">LEFT(F5,1)*LEFT(G5,1)</f>
        <v>6</v>
      </c>
      <c r="I5" s="9" t="s">
        <v>31</v>
      </c>
      <c r="J5" s="9" t="s">
        <v>32</v>
      </c>
      <c r="K5" s="7" t="n">
        <v>2</v>
      </c>
      <c r="L5" s="7" t="n">
        <v>1</v>
      </c>
      <c r="M5" s="8" t="n">
        <f aca="false">LEFT(K5,1)*LEFT(L5,1)</f>
        <v>2</v>
      </c>
      <c r="N5" s="10" t="s">
        <v>22</v>
      </c>
    </row>
    <row r="6" customFormat="false" ht="57.45" hidden="false" customHeight="false" outlineLevel="0" collapsed="false">
      <c r="A6" s="5" t="s">
        <v>33</v>
      </c>
      <c r="B6" s="5" t="s">
        <v>34</v>
      </c>
      <c r="C6" s="6"/>
      <c r="D6" s="6"/>
      <c r="E6" s="5" t="s">
        <v>35</v>
      </c>
      <c r="F6" s="7" t="n">
        <v>3</v>
      </c>
      <c r="G6" s="7" t="n">
        <v>2</v>
      </c>
      <c r="H6" s="8" t="n">
        <f aca="false">LEFT(F6,1)*LEFT(G6,1)</f>
        <v>6</v>
      </c>
      <c r="I6" s="15" t="s">
        <v>36</v>
      </c>
      <c r="J6" s="9" t="s">
        <v>37</v>
      </c>
      <c r="K6" s="7" t="n">
        <v>2</v>
      </c>
      <c r="L6" s="7" t="n">
        <v>1</v>
      </c>
      <c r="M6" s="8" t="n">
        <f aca="false">LEFT(K6,1)*LEFT(L6,1)</f>
        <v>2</v>
      </c>
      <c r="N6" s="10" t="s">
        <v>22</v>
      </c>
    </row>
    <row r="7" customFormat="false" ht="79.85" hidden="false" customHeight="false" outlineLevel="0" collapsed="false">
      <c r="A7" s="5" t="s">
        <v>38</v>
      </c>
      <c r="B7" s="5" t="s">
        <v>39</v>
      </c>
      <c r="C7" s="6"/>
      <c r="D7" s="6"/>
      <c r="E7" s="5" t="s">
        <v>40</v>
      </c>
      <c r="F7" s="7" t="n">
        <v>3</v>
      </c>
      <c r="G7" s="7" t="n">
        <v>2</v>
      </c>
      <c r="H7" s="8" t="n">
        <f aca="false">LEFT(F7,1)*LEFT(G7,1)</f>
        <v>6</v>
      </c>
      <c r="I7" s="15" t="s">
        <v>41</v>
      </c>
      <c r="J7" s="11" t="s">
        <v>42</v>
      </c>
      <c r="K7" s="7" t="n">
        <v>2</v>
      </c>
      <c r="L7" s="7" t="n">
        <v>1</v>
      </c>
      <c r="M7" s="8" t="n">
        <f aca="false">LEFT(K7,1)*LEFT(L7,1)</f>
        <v>2</v>
      </c>
      <c r="N7" s="10" t="s">
        <v>22</v>
      </c>
    </row>
    <row r="8" customFormat="false" ht="57.45" hidden="false" customHeight="false" outlineLevel="0" collapsed="false">
      <c r="A8" s="5" t="s">
        <v>43</v>
      </c>
      <c r="B8" s="5" t="s">
        <v>44</v>
      </c>
      <c r="C8" s="6"/>
      <c r="D8" s="6"/>
      <c r="E8" s="5" t="s">
        <v>45</v>
      </c>
      <c r="F8" s="7" t="n">
        <v>2</v>
      </c>
      <c r="G8" s="7" t="n">
        <v>3</v>
      </c>
      <c r="H8" s="8" t="n">
        <f aca="false">LEFT(F8,1)*LEFT(G8,1)</f>
        <v>6</v>
      </c>
      <c r="I8" s="16" t="s">
        <v>46</v>
      </c>
      <c r="J8" s="17" t="s">
        <v>47</v>
      </c>
      <c r="K8" s="7" t="n">
        <v>2</v>
      </c>
      <c r="L8" s="7" t="n">
        <v>1</v>
      </c>
      <c r="M8" s="8" t="n">
        <f aca="false">LEFT(K8,1)*LEFT(L8,1)</f>
        <v>2</v>
      </c>
      <c r="N8" s="10" t="s">
        <v>22</v>
      </c>
    </row>
    <row r="9" customFormat="false" ht="46.25" hidden="false" customHeight="false" outlineLevel="0" collapsed="false">
      <c r="A9" s="5" t="s">
        <v>48</v>
      </c>
      <c r="B9" s="5" t="s">
        <v>49</v>
      </c>
      <c r="C9" s="6"/>
      <c r="D9" s="6"/>
      <c r="E9" s="5" t="s">
        <v>50</v>
      </c>
      <c r="F9" s="7" t="n">
        <v>3</v>
      </c>
      <c r="G9" s="7" t="n">
        <v>2</v>
      </c>
      <c r="H9" s="8" t="n">
        <f aca="false">LEFT(F9,1)*LEFT(G9,1)</f>
        <v>6</v>
      </c>
      <c r="I9" s="17" t="s">
        <v>51</v>
      </c>
      <c r="J9" s="17" t="s">
        <v>52</v>
      </c>
      <c r="K9" s="7" t="n">
        <v>2</v>
      </c>
      <c r="L9" s="7" t="n">
        <v>1</v>
      </c>
      <c r="M9" s="8" t="n">
        <f aca="false">LEFT(K9,1)*LEFT(L9,1)</f>
        <v>2</v>
      </c>
      <c r="N9" s="10" t="s">
        <v>22</v>
      </c>
    </row>
    <row r="10" customFormat="false" ht="46.25" hidden="false" customHeight="false" outlineLevel="0" collapsed="false">
      <c r="A10" s="5" t="s">
        <v>53</v>
      </c>
      <c r="B10" s="5" t="s">
        <v>54</v>
      </c>
      <c r="C10" s="12"/>
      <c r="D10" s="12"/>
      <c r="E10" s="5" t="s">
        <v>55</v>
      </c>
      <c r="F10" s="13" t="n">
        <v>2</v>
      </c>
      <c r="G10" s="13" t="n">
        <v>2</v>
      </c>
      <c r="H10" s="8" t="n">
        <f aca="false">LEFT(F10,1)*LEFT(G10,1)</f>
        <v>4</v>
      </c>
      <c r="I10" s="9" t="s">
        <v>56</v>
      </c>
      <c r="J10" s="9" t="s">
        <v>57</v>
      </c>
      <c r="K10" s="13" t="n">
        <v>2</v>
      </c>
      <c r="L10" s="13" t="n">
        <v>1</v>
      </c>
      <c r="M10" s="8" t="n">
        <f aca="false">LEFT(K10,1)*LEFT(L10,1)</f>
        <v>2</v>
      </c>
      <c r="N10" s="10" t="s">
        <v>22</v>
      </c>
    </row>
    <row r="11" customFormat="false" ht="13.8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customFormat="false" ht="13.8" hidden="false" customHeight="false" outlineLevel="0" collapsed="false">
      <c r="A12" s="18"/>
      <c r="B12" s="18"/>
      <c r="C12" s="18"/>
      <c r="D12" s="18"/>
      <c r="E12" s="1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3:H10 M3:M10">
    <cfRule type="colorScale" priority="2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3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4296875" defaultRowHeight="14.25" zeroHeight="false" outlineLevelRow="0" outlineLevelCol="0"/>
  <cols>
    <col collapsed="false" customWidth="true" hidden="false" outlineLevel="0" max="2" min="1" style="1" width="26.45"/>
    <col collapsed="false" customWidth="true" hidden="true" outlineLevel="0" max="3" min="3" style="1" width="26.45"/>
    <col collapsed="false" customWidth="true" hidden="true" outlineLevel="0" max="4" min="4" style="1" width="22.91"/>
    <col collapsed="false" customWidth="true" hidden="false" outlineLevel="0" max="5" min="5" style="1" width="26.45"/>
    <col collapsed="false" customWidth="false" hidden="false" outlineLevel="0" max="7" min="6" style="1" width="11.54"/>
    <col collapsed="false" customWidth="true" hidden="false" outlineLevel="0" max="8" min="8" style="1" width="14.45"/>
    <col collapsed="false" customWidth="true" hidden="false" outlineLevel="0" max="9" min="9" style="1" width="22.36"/>
    <col collapsed="false" customWidth="true" hidden="false" outlineLevel="0" max="10" min="10" style="1" width="30.36"/>
    <col collapsed="false" customWidth="false" hidden="false" outlineLevel="0" max="16384" min="11" style="1" width="11.54"/>
  </cols>
  <sheetData>
    <row r="1" s="3" customFormat="true" ht="4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3" customFormat="true" ht="14.25" hidden="false" customHeight="false" outlineLevel="0" collapsed="false">
      <c r="A2" s="4" t="s">
        <v>14</v>
      </c>
      <c r="B2" s="4" t="s">
        <v>15</v>
      </c>
      <c r="C2" s="4"/>
      <c r="D2" s="4"/>
      <c r="E2" s="4" t="s">
        <v>16</v>
      </c>
      <c r="F2" s="4"/>
      <c r="G2" s="4"/>
      <c r="H2" s="4"/>
      <c r="I2" s="4"/>
      <c r="J2" s="4"/>
    </row>
    <row r="3" customFormat="false" ht="101.25" hidden="false" customHeight="false" outlineLevel="0" collapsed="false">
      <c r="A3" s="19" t="s">
        <v>58</v>
      </c>
      <c r="B3" s="19" t="s">
        <v>59</v>
      </c>
      <c r="C3" s="19" t="s">
        <v>60</v>
      </c>
      <c r="D3" s="19" t="s">
        <v>61</v>
      </c>
      <c r="E3" s="19" t="s">
        <v>62</v>
      </c>
      <c r="F3" s="19" t="n">
        <v>2</v>
      </c>
      <c r="G3" s="19" t="n">
        <v>3</v>
      </c>
      <c r="H3" s="19" t="n">
        <v>6</v>
      </c>
      <c r="I3" s="19" t="s">
        <v>63</v>
      </c>
      <c r="J3" s="19" t="s">
        <v>64</v>
      </c>
    </row>
    <row r="4" customFormat="false" ht="14.25" hidden="false" customHeight="false" outlineLevel="0" collapsed="false">
      <c r="A4" s="19"/>
      <c r="B4" s="19"/>
      <c r="C4" s="19"/>
      <c r="D4" s="19"/>
      <c r="E4" s="19"/>
      <c r="F4" s="19" t="n">
        <v>0</v>
      </c>
      <c r="G4" s="19" t="n">
        <v>0</v>
      </c>
      <c r="H4" s="8" t="n">
        <f aca="false">LEFT(F4,1)*LEFT(G4,1)</f>
        <v>0</v>
      </c>
      <c r="I4" s="19"/>
      <c r="J4" s="19"/>
    </row>
    <row r="5" customFormat="false" ht="14.25" hidden="false" customHeight="false" outlineLevel="0" collapsed="false">
      <c r="A5" s="19"/>
      <c r="B5" s="19"/>
      <c r="C5" s="19"/>
      <c r="D5" s="19"/>
      <c r="E5" s="19"/>
      <c r="F5" s="19" t="n">
        <v>0</v>
      </c>
      <c r="G5" s="19" t="n">
        <v>0</v>
      </c>
      <c r="H5" s="8" t="n">
        <f aca="false">LEFT(F5,1)*LEFT(G5,1)</f>
        <v>0</v>
      </c>
      <c r="I5" s="19"/>
      <c r="J5" s="19"/>
    </row>
    <row r="6" customFormat="false" ht="14.25" hidden="false" customHeight="false" outlineLevel="0" collapsed="false">
      <c r="A6" s="19"/>
      <c r="B6" s="19"/>
      <c r="C6" s="19"/>
      <c r="D6" s="19"/>
      <c r="E6" s="19"/>
      <c r="F6" s="19" t="n">
        <v>0</v>
      </c>
      <c r="G6" s="19" t="n">
        <v>0</v>
      </c>
      <c r="H6" s="8" t="n">
        <f aca="false">LEFT(F6,1)*LEFT(G6,1)</f>
        <v>0</v>
      </c>
      <c r="I6" s="19"/>
      <c r="J6" s="19"/>
    </row>
    <row r="7" customFormat="false" ht="14.25" hidden="false" customHeight="false" outlineLevel="0" collapsed="false">
      <c r="A7" s="19"/>
      <c r="B7" s="19"/>
      <c r="C7" s="19"/>
      <c r="D7" s="19"/>
      <c r="E7" s="19"/>
      <c r="F7" s="19" t="n">
        <v>0</v>
      </c>
      <c r="G7" s="19" t="n">
        <v>0</v>
      </c>
      <c r="H7" s="8" t="n">
        <f aca="false">LEFT(F7,1)*LEFT(G7,1)</f>
        <v>0</v>
      </c>
      <c r="I7" s="19"/>
      <c r="J7" s="19"/>
    </row>
    <row r="8" customFormat="false" ht="14.25" hidden="false" customHeight="false" outlineLevel="0" collapsed="false">
      <c r="A8" s="19"/>
      <c r="B8" s="19"/>
      <c r="C8" s="19"/>
      <c r="D8" s="19"/>
      <c r="E8" s="19"/>
      <c r="F8" s="19" t="n">
        <v>0</v>
      </c>
      <c r="G8" s="19" t="n">
        <v>0</v>
      </c>
      <c r="H8" s="8" t="n">
        <f aca="false">LEFT(F8,1)*LEFT(G8,1)</f>
        <v>0</v>
      </c>
      <c r="I8" s="19"/>
      <c r="J8" s="19"/>
    </row>
    <row r="9" customFormat="false" ht="14.25" hidden="false" customHeight="false" outlineLevel="0" collapsed="false">
      <c r="A9" s="19"/>
      <c r="B9" s="19"/>
      <c r="C9" s="19"/>
      <c r="D9" s="19"/>
      <c r="E9" s="19"/>
      <c r="F9" s="19" t="n">
        <v>0</v>
      </c>
      <c r="G9" s="19" t="n">
        <v>0</v>
      </c>
      <c r="H9" s="8" t="n">
        <f aca="false">LEFT(F9,1)*LEFT(G9,1)</f>
        <v>0</v>
      </c>
      <c r="I9" s="19"/>
      <c r="J9" s="19"/>
    </row>
  </sheetData>
  <conditionalFormatting sqref="H5:H9">
    <cfRule type="colorScale" priority="2">
      <colorScale>
        <cfvo type="num" val="0"/>
        <cfvo type="num" val="3"/>
        <cfvo type="num" val="8"/>
        <color rgb="FF00B050"/>
        <color rgb="FFFFEB84"/>
        <color rgb="FFFF0000"/>
      </colorScale>
    </cfRule>
    <cfRule type="colorScale" priority="3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4">
    <cfRule type="colorScale" priority="4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4">
    <cfRule type="colorScale" priority="5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3">
    <cfRule type="colorScale" priority="6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conditionalFormatting sqref="H3">
    <cfRule type="colorScale" priority="7">
      <colorScale>
        <cfvo type="num" val="0"/>
        <cfvo type="num" val="3"/>
        <cfvo type="num" val="8"/>
        <color rgb="FF00B050"/>
        <color rgb="FFFFEB84"/>
        <color rgb="FFFF00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37455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2006-09-12T15:06:44Z</dcterms:created>
  <dc:creator/>
  <dc:description/>
  <dc:language>fr-FR</dc:language>
  <cp:lastModifiedBy/>
  <dcterms:modified xsi:type="dcterms:W3CDTF">2026-01-06T13:33:44Z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